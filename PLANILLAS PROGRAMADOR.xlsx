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Libro Diario Colectivos" sheetId="1" state="visible" r:id="rId2"/>
    <sheet name="REPARACIONES" sheetId="2" state="visible" r:id="rId3"/>
    <sheet name="Planilla CAMION" sheetId="3" state="visible" r:id="rId4"/>
  </sheets>
  <externalReferences>
    <externalReference r:id="rId1"/>
  </externalReferences>
  <definedNames>
    <definedName name="Linea">'[1]Datos'!$F$2:$F$12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<sst xmlns="http://schemas.openxmlformats.org/spreadsheetml/2006/main" count="99" uniqueCount="99">
  <si>
    <t>Fecha</t>
  </si>
  <si>
    <t>Dia</t>
  </si>
  <si>
    <t>Periodo</t>
  </si>
  <si>
    <t>Linea</t>
  </si>
  <si>
    <t>Horario</t>
  </si>
  <si>
    <t>Km.</t>
  </si>
  <si>
    <t>Coche</t>
  </si>
  <si>
    <t>Chofer</t>
  </si>
  <si>
    <t>Guarda</t>
  </si>
  <si>
    <t xml:space="preserve">Nº Boleto desde</t>
  </si>
  <si>
    <t xml:space="preserve">Nº Boleto hasta</t>
  </si>
  <si>
    <t>Recaudac.</t>
  </si>
  <si>
    <t xml:space="preserve">Gasoil Pesos</t>
  </si>
  <si>
    <t xml:space="preserve">Gasoil Litros</t>
  </si>
  <si>
    <t>Lleno?</t>
  </si>
  <si>
    <t>Oncologico</t>
  </si>
  <si>
    <t>Boleterias</t>
  </si>
  <si>
    <t>MP</t>
  </si>
  <si>
    <t>Otros</t>
  </si>
  <si>
    <t>Sobro</t>
  </si>
  <si>
    <t>Posadas</t>
  </si>
  <si>
    <t xml:space="preserve">IDA 06.50 SJ-PS</t>
  </si>
  <si>
    <t xml:space="preserve">Ezequiel G.</t>
  </si>
  <si>
    <t>Sosa</t>
  </si>
  <si>
    <t xml:space="preserve">VTA 11.20 PS-SJ</t>
  </si>
  <si>
    <t xml:space="preserve">IDA 13.50 SJ-PS</t>
  </si>
  <si>
    <t xml:space="preserve">VTA 17.30 PS-SJ</t>
  </si>
  <si>
    <t xml:space="preserve">IDA 4.50 SJ-PS</t>
  </si>
  <si>
    <t xml:space="preserve">VTA 9.50 PS-SJ</t>
  </si>
  <si>
    <t xml:space="preserve">IDA 12.45 SJ-PS</t>
  </si>
  <si>
    <t>Doprado</t>
  </si>
  <si>
    <t xml:space="preserve">VTA 16.15 PS - SJ</t>
  </si>
  <si>
    <t xml:space="preserve">Coche </t>
  </si>
  <si>
    <t>FECHA</t>
  </si>
  <si>
    <t>RUBRO</t>
  </si>
  <si>
    <t>CONCEPTO</t>
  </si>
  <si>
    <t>MEDIDAS</t>
  </si>
  <si>
    <t xml:space="preserve">FECHA PROX. CAMBIO</t>
  </si>
  <si>
    <t xml:space="preserve">LUBRICANTES Y FILTROS</t>
  </si>
  <si>
    <t xml:space="preserve">Aceite de motor y filtro</t>
  </si>
  <si>
    <t>h</t>
  </si>
  <si>
    <t xml:space="preserve">filtro de aire</t>
  </si>
  <si>
    <t xml:space="preserve">filtro de gasoil y trampa de agua</t>
  </si>
  <si>
    <t>CUBIERTAS</t>
  </si>
  <si>
    <t xml:space="preserve">cubiertas delanteras nuevas</t>
  </si>
  <si>
    <t xml:space="preserve">cubiertas trasera izqueirda recapada</t>
  </si>
  <si>
    <t xml:space="preserve">CAJA Y EMBRAGUE</t>
  </si>
  <si>
    <t xml:space="preserve">se reparo el servo</t>
  </si>
  <si>
    <t xml:space="preserve">mecanica en gral</t>
  </si>
  <si>
    <t xml:space="preserve">se levantaron masas delanteras- bien</t>
  </si>
  <si>
    <t xml:space="preserve">se levanto eje y se reviso cardan - bien</t>
  </si>
  <si>
    <t xml:space="preserve">Aire Acondicionado</t>
  </si>
  <si>
    <t xml:space="preserve">se reparo completo el aire acondicionado</t>
  </si>
  <si>
    <t>marcelo</t>
  </si>
  <si>
    <t>CARROCERÍA</t>
  </si>
  <si>
    <t xml:space="preserve">Chapa y Pintura Completo, Chapas nuevas todo</t>
  </si>
  <si>
    <t xml:space="preserve">Cubiertas Trasera Der. Rec. (Vienen del 36 de atrás) Tipo Taco Fontana</t>
  </si>
  <si>
    <t xml:space="preserve">Michelin 1° Rec. Tipo Taco</t>
  </si>
  <si>
    <t xml:space="preserve">MECÁNICA EN GRAL.</t>
  </si>
  <si>
    <t xml:space="preserve">Extremo Dirección - Brazo Corto Arriba del Eje</t>
  </si>
  <si>
    <t xml:space="preserve">Cono 27, Rosca 32 Izq.</t>
  </si>
  <si>
    <t xml:space="preserve">Ruleman de Cardan Nuevo con Goma, el del primer tramo</t>
  </si>
  <si>
    <t xml:space="preserve">Cubiertas Tras. Izq. Recapadas Nuevas Tipo Taco Fontana</t>
  </si>
  <si>
    <t xml:space="preserve">Rotación Cubiertas Delanteras - ambas sobre llantas (Gasta más Hombro Interno)</t>
  </si>
  <si>
    <t>Continental</t>
  </si>
  <si>
    <t xml:space="preserve">Camion Nº</t>
  </si>
  <si>
    <t>Origen</t>
  </si>
  <si>
    <t>Destino</t>
  </si>
  <si>
    <t xml:space="preserve">Nº Remito </t>
  </si>
  <si>
    <t xml:space="preserve">Tarifa </t>
  </si>
  <si>
    <t>KILOS</t>
  </si>
  <si>
    <t>NETO</t>
  </si>
  <si>
    <t>IVA</t>
  </si>
  <si>
    <t xml:space="preserve">Total final</t>
  </si>
  <si>
    <t xml:space="preserve">Pago Chofer 15 %</t>
  </si>
  <si>
    <t xml:space="preserve">KM por Vuelta</t>
  </si>
  <si>
    <t xml:space="preserve">Pereira Daniel</t>
  </si>
  <si>
    <t xml:space="preserve">Santa Maria</t>
  </si>
  <si>
    <t>Acontimber</t>
  </si>
  <si>
    <t>0005-9136</t>
  </si>
  <si>
    <t xml:space="preserve">San Juan Cora</t>
  </si>
  <si>
    <t>001-14600</t>
  </si>
  <si>
    <t>001-14659</t>
  </si>
  <si>
    <t>005-9141</t>
  </si>
  <si>
    <t>005-9160</t>
  </si>
  <si>
    <t xml:space="preserve">La Blanca</t>
  </si>
  <si>
    <t>022-22351</t>
  </si>
  <si>
    <t>022-22353</t>
  </si>
  <si>
    <t>005-9175</t>
  </si>
  <si>
    <t>005-9178</t>
  </si>
  <si>
    <t>022-22363</t>
  </si>
  <si>
    <t xml:space="preserve">San Charbel (Ruta 68)</t>
  </si>
  <si>
    <t>001-11857</t>
  </si>
  <si>
    <t>005-9213</t>
  </si>
  <si>
    <t>0001-11874</t>
  </si>
  <si>
    <t xml:space="preserve">San Charbel (EL Boga)</t>
  </si>
  <si>
    <t>006-2351</t>
  </si>
  <si>
    <t>005-9235</t>
  </si>
  <si>
    <t>005-9244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</si>
</sst>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_-&quot;$&quot;\ * #,##0.00_-;\-&quot;$&quot;\ * #,##0.00_-;_-&quot;$&quot;\ * &quot;-&quot;??_-;_-@_-"/>
    <numFmt numFmtId="165" formatCode="_-&quot;$&quot;\ * #,##0_-;\-&quot;$&quot;\ * #,##0_-;_-&quot;$&quot;\ * &quot;-&quot;_-;_-@_-"/>
    <numFmt numFmtId="166" formatCode="_-\ * #,##0_-\L\t\r\.;\-&quot;$&quot;\ * #,##0_-;_-&quot;$&quot;\ * &quot;-&quot;_-;_-@_-"/>
    <numFmt numFmtId="167" formatCode="&quot;$&quot;\ #,##0.00"/>
    <numFmt numFmtId="168" formatCode="[$$-2C0A]\ #,##0.00"/>
    <numFmt numFmtId="169" formatCode="_-* #,##0.00\ _€_-;\-* #,##0.00\ _€_-;_-* &quot;-&quot;??\ _€_-;_-@_-"/>
  </numFmts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FFC000"/>
      </patternFill>
    </fill>
    <fill>
      <patternFill patternType="solid">
        <fgColor indexed="2"/>
      </patternFill>
    </fill>
    <fill>
      <patternFill patternType="solid">
        <fgColor indexed="26"/>
      </patternFill>
    </fill>
    <fill>
      <patternFill patternType="solid">
        <fgColor theme="2" tint="-0.249977111117893"/>
      </patternFill>
    </fill>
    <fill>
      <patternFill patternType="solid">
        <fgColor theme="0"/>
      </patternFill>
    </fill>
    <fill>
      <patternFill patternType="solid">
        <fgColor rgb="FF00B05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30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/>
    </xf>
    <xf fontId="1" fillId="0" borderId="1" numFmtId="165" xfId="1" applyNumberFormat="1" applyFont="1" applyBorder="1" applyAlignment="1">
      <alignment horizontal="center" vertical="center" wrapText="1"/>
    </xf>
    <xf fontId="1" fillId="2" borderId="1" numFmtId="165" xfId="0" applyNumberFormat="1" applyFont="1" applyFill="1" applyBorder="1" applyAlignment="1">
      <alignment horizontal="center" vertical="center" wrapText="1"/>
    </xf>
    <xf fontId="1" fillId="3" borderId="1" numFmtId="165" xfId="0" applyNumberFormat="1" applyFont="1" applyFill="1" applyBorder="1" applyAlignment="1">
      <alignment horizontal="center" vertical="center" wrapText="1"/>
    </xf>
    <xf fontId="1" fillId="4" borderId="1" numFmtId="165" xfId="0" applyNumberFormat="1" applyFont="1" applyFill="1" applyBorder="1" applyAlignment="1">
      <alignment horizontal="center" vertical="center" wrapText="1"/>
    </xf>
    <xf fontId="1" fillId="0" borderId="1" numFmtId="165" xfId="0" applyNumberFormat="1" applyFont="1" applyBorder="1" applyAlignment="1">
      <alignment horizontal="center" vertical="center" wrapText="1"/>
    </xf>
    <xf fontId="0" fillId="0" borderId="1" numFmtId="14" xfId="0" applyNumberFormat="1" applyBorder="1"/>
    <xf fontId="0" fillId="0" borderId="1" numFmtId="0" xfId="0" applyBorder="1"/>
    <xf fontId="0" fillId="0" borderId="1" numFmtId="17" xfId="0" applyNumberFormat="1" applyBorder="1"/>
    <xf fontId="0" fillId="0" borderId="1" numFmtId="0" xfId="0" applyBorder="1" applyAlignment="1">
      <alignment horizontal="center"/>
    </xf>
    <xf fontId="0" fillId="0" borderId="1" numFmtId="165" xfId="0" applyNumberFormat="1" applyBorder="1"/>
    <xf fontId="0" fillId="5" borderId="1" numFmtId="165" xfId="0" applyNumberFormat="1" applyFill="1" applyBorder="1"/>
    <xf fontId="0" fillId="5" borderId="1" numFmtId="166" xfId="0" applyNumberFormat="1" applyFill="1" applyBorder="1"/>
    <xf fontId="1" fillId="6" borderId="1" numFmtId="0" xfId="0" applyFont="1" applyFill="1" applyBorder="1" applyAlignment="1">
      <alignment horizontal="center"/>
    </xf>
    <xf fontId="1" fillId="6" borderId="1" numFmtId="14" xfId="0" applyNumberFormat="1" applyFont="1" applyFill="1" applyBorder="1" applyAlignment="1">
      <alignment horizontal="center"/>
    </xf>
    <xf fontId="0" fillId="7" borderId="1" numFmtId="14" xfId="0" applyNumberFormat="1" applyFill="1" applyBorder="1" applyAlignment="1">
      <alignment horizontal="left"/>
    </xf>
    <xf fontId="0" fillId="7" borderId="1" numFmtId="0" xfId="0" applyFill="1" applyBorder="1" applyAlignment="1">
      <alignment horizontal="left"/>
    </xf>
    <xf fontId="0" fillId="7" borderId="1" numFmtId="14" xfId="0" applyNumberFormat="1" applyFill="1" applyBorder="1" applyAlignment="1">
      <alignment horizontal="center"/>
    </xf>
    <xf fontId="0" fillId="0" borderId="1" numFmtId="14" xfId="0" applyNumberFormat="1" applyBorder="1" applyAlignment="1">
      <alignment horizontal="center"/>
    </xf>
    <xf fontId="2" fillId="8" borderId="1" numFmtId="0" xfId="0" applyFont="1" applyFill="1" applyBorder="1" applyAlignment="1">
      <alignment horizontal="center" wrapText="1"/>
    </xf>
    <xf fontId="2" fillId="8" borderId="1" numFmtId="167" xfId="0" applyNumberFormat="1" applyFont="1" applyFill="1" applyBorder="1" applyAlignment="1">
      <alignment horizontal="center" wrapText="1"/>
    </xf>
    <xf fontId="2" fillId="8" borderId="2" numFmtId="168" xfId="0" applyNumberFormat="1" applyFont="1" applyFill="1" applyBorder="1" applyAlignment="1">
      <alignment horizontal="center" wrapText="1"/>
    </xf>
    <xf fontId="2" fillId="8" borderId="1" numFmtId="168" xfId="0" applyNumberFormat="1" applyFont="1" applyFill="1" applyBorder="1" applyAlignment="1">
      <alignment horizontal="center" wrapText="1"/>
    </xf>
    <xf fontId="1" fillId="8" borderId="1" numFmtId="167" xfId="0" applyNumberFormat="1" applyFont="1" applyFill="1" applyBorder="1" applyAlignment="1">
      <alignment horizontal="center" wrapText="1"/>
    </xf>
    <xf fontId="0" fillId="0" borderId="0" numFmtId="14" xfId="0" applyNumberFormat="1"/>
    <xf fontId="0" fillId="0" borderId="0" numFmtId="169" xfId="0" applyNumberFormat="1"/>
    <xf fontId="0" fillId="0" borderId="0" numFmtId="168" xfId="0" applyNumberFormat="1"/>
    <xf fontId="0" fillId="2" borderId="0" numFmtId="169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https://d.docs.live.net/4bf4b62823ff6c51/Dropbox/Nuevo%20Diario%2005-2025%20ARREGL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 Diario Grandes"/>
      <sheetName val="GASOIL"/>
      <sheetName val="GASTOS"/>
      <sheetName val="TARJETAS"/>
      <sheetName val="Calc. Sueldos"/>
      <sheetName val="VIAJES ESP"/>
      <sheetName val="Calc. KmLts"/>
      <sheetName val="Rec.xLinea"/>
      <sheetName val="Resumen Mensual"/>
      <sheetName val="Datos"/>
      <sheetName val="Diario SJ _MOJ_AL"/>
      <sheetName val="Lic. Conduc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F2" t="str">
            <v>Posadas</v>
          </cell>
          <cell r="G2">
            <v>130</v>
          </cell>
        </row>
        <row r="3">
          <cell r="F3" t="str">
            <v>SanVicente</v>
          </cell>
          <cell r="G3">
            <v>190</v>
          </cell>
        </row>
        <row r="4">
          <cell r="F4" t="str">
            <v>Obera</v>
          </cell>
          <cell r="G4">
            <v>80</v>
          </cell>
        </row>
        <row r="5">
          <cell r="F5" t="str">
            <v>Alem</v>
          </cell>
          <cell r="G5">
            <v>55</v>
          </cell>
        </row>
        <row r="6">
          <cell r="F6" t="str">
            <v>MojAlem</v>
          </cell>
          <cell r="G6">
            <v>30</v>
          </cell>
        </row>
        <row r="7">
          <cell r="F7" t="str">
            <v>SJavMojAlem</v>
          </cell>
          <cell r="G7">
            <v>55</v>
          </cell>
        </row>
        <row r="8">
          <cell r="F8" t="str">
            <v>Itacaruare</v>
          </cell>
          <cell r="G8">
            <v>30</v>
          </cell>
        </row>
        <row r="9">
          <cell r="F9" t="str">
            <v>EscMojLopez</v>
          </cell>
          <cell r="G9">
            <v>60</v>
          </cell>
        </row>
        <row r="10">
          <cell r="F10" t="str">
            <v>IEA</v>
          </cell>
          <cell r="G10">
            <v>100</v>
          </cell>
        </row>
      </sheetData>
      <sheetData sheetId="10"/>
      <sheetData sheetId="1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zoomScale="100" workbookViewId="0">
      <selection activeCell="B12" activeCellId="0" sqref="B12"/>
    </sheetView>
  </sheetViews>
  <sheetFormatPr baseColWidth="10" defaultRowHeight="14.25"/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</row>
    <row r="2">
      <c r="A2" s="8">
        <v>45778</v>
      </c>
      <c r="B2" s="9" t="str">
        <f t="shared" ref="B2:B9" si="0">IF(A2&gt;0,TEXT(A2,"dddd"),"")</f>
        <v>jueves</v>
      </c>
      <c r="C2" s="10" t="str">
        <f t="shared" ref="C2:C9" si="1">+TEXT(A2,"mm/yyyy")</f>
        <v>05/2025</v>
      </c>
      <c r="D2" s="10" t="s">
        <v>20</v>
      </c>
      <c r="E2" s="9" t="s">
        <v>21</v>
      </c>
      <c r="F2" s="9">
        <f>+VLOOKUP(D2,[1]Datos!$F$2:$G$10,2,FALSE)</f>
        <v>130</v>
      </c>
      <c r="G2" s="9">
        <v>70</v>
      </c>
      <c r="H2" s="9" t="s">
        <v>22</v>
      </c>
      <c r="I2" s="9" t="s">
        <v>23</v>
      </c>
      <c r="J2" s="11">
        <v>11746</v>
      </c>
      <c r="K2" s="11">
        <v>11760</v>
      </c>
      <c r="L2" s="12">
        <f>76600+67700+9700</f>
        <v>154000</v>
      </c>
      <c r="M2" s="13"/>
      <c r="N2" s="14"/>
      <c r="O2" s="13"/>
      <c r="P2" s="13"/>
      <c r="Q2" s="13">
        <v>6800</v>
      </c>
      <c r="R2" s="13">
        <v>7400</v>
      </c>
      <c r="S2" s="13">
        <f>7400+9700</f>
        <v>17100</v>
      </c>
      <c r="T2" s="12">
        <f t="shared" ref="T2:T9" si="2">+L2-M2-P2-Q2-R2-S2</f>
        <v>122700</v>
      </c>
    </row>
    <row r="3">
      <c r="A3" s="8">
        <v>45778</v>
      </c>
      <c r="B3" s="9" t="str">
        <f t="shared" si="0"/>
        <v>jueves</v>
      </c>
      <c r="C3" s="10" t="str">
        <f t="shared" si="1"/>
        <v>05/2025</v>
      </c>
      <c r="D3" s="10" t="s">
        <v>20</v>
      </c>
      <c r="E3" s="9" t="s">
        <v>24</v>
      </c>
      <c r="F3" s="9">
        <f>+VLOOKUP(D3,'[1]Datos'!$F$2:$G$10,2,FALSE)</f>
        <v>130</v>
      </c>
      <c r="G3" s="9">
        <v>70</v>
      </c>
      <c r="H3" s="9" t="s">
        <v>22</v>
      </c>
      <c r="I3" s="9" t="s">
        <v>23</v>
      </c>
      <c r="J3" s="11">
        <v>11761</v>
      </c>
      <c r="K3" s="11">
        <v>11797</v>
      </c>
      <c r="L3" s="12">
        <f>197200+205700+9700</f>
        <v>412600</v>
      </c>
      <c r="M3" s="13">
        <v>59200</v>
      </c>
      <c r="N3" s="14"/>
      <c r="O3" s="13"/>
      <c r="P3" s="13"/>
      <c r="Q3" s="13">
        <v>20660</v>
      </c>
      <c r="R3" s="13">
        <v>20700</v>
      </c>
      <c r="S3" s="13">
        <f>5300+9700</f>
        <v>15000</v>
      </c>
      <c r="T3" s="12">
        <f t="shared" si="2"/>
        <v>297040</v>
      </c>
    </row>
    <row r="4">
      <c r="A4" s="8">
        <v>45778</v>
      </c>
      <c r="B4" s="9" t="str">
        <f t="shared" si="0"/>
        <v>jueves</v>
      </c>
      <c r="C4" s="10" t="str">
        <f t="shared" si="1"/>
        <v>05/2025</v>
      </c>
      <c r="D4" s="10" t="s">
        <v>20</v>
      </c>
      <c r="E4" s="9" t="s">
        <v>25</v>
      </c>
      <c r="F4" s="9">
        <f>+VLOOKUP(D4,'[1]Datos'!$F$2:$G$10,2,FALSE)</f>
        <v>130</v>
      </c>
      <c r="G4" s="9">
        <v>58</v>
      </c>
      <c r="H4" s="9" t="s">
        <v>22</v>
      </c>
      <c r="I4" s="9" t="s">
        <v>23</v>
      </c>
      <c r="J4" s="11">
        <v>11798</v>
      </c>
      <c r="K4" s="11">
        <v>11823</v>
      </c>
      <c r="L4" s="12">
        <f>131000+102600</f>
        <v>233600</v>
      </c>
      <c r="M4" s="13"/>
      <c r="N4" s="14"/>
      <c r="O4" s="13"/>
      <c r="P4" s="13"/>
      <c r="Q4" s="13">
        <v>10300</v>
      </c>
      <c r="R4" s="13"/>
      <c r="S4" s="13">
        <v>8100</v>
      </c>
      <c r="T4" s="12">
        <f t="shared" si="2"/>
        <v>215200</v>
      </c>
    </row>
    <row r="5">
      <c r="A5" s="8">
        <v>45778</v>
      </c>
      <c r="B5" s="9" t="str">
        <f t="shared" si="0"/>
        <v>jueves</v>
      </c>
      <c r="C5" s="10" t="str">
        <f t="shared" si="1"/>
        <v>05/2025</v>
      </c>
      <c r="D5" s="10" t="s">
        <v>20</v>
      </c>
      <c r="E5" s="9" t="s">
        <v>26</v>
      </c>
      <c r="F5" s="9">
        <f>+VLOOKUP(D5,'[1]Datos'!$F$2:$G$10,2,FALSE)</f>
        <v>130</v>
      </c>
      <c r="G5" s="9">
        <v>58</v>
      </c>
      <c r="H5" s="9" t="s">
        <v>22</v>
      </c>
      <c r="I5" s="9" t="s">
        <v>23</v>
      </c>
      <c r="J5" s="11">
        <v>11824</v>
      </c>
      <c r="K5" s="11">
        <v>11873</v>
      </c>
      <c r="L5" s="12">
        <f>277100+175500+19400+3250</f>
        <v>475250</v>
      </c>
      <c r="M5" s="13"/>
      <c r="N5" s="14"/>
      <c r="O5" s="13"/>
      <c r="P5" s="13"/>
      <c r="Q5" s="13">
        <v>17610</v>
      </c>
      <c r="R5" s="13">
        <v>25900</v>
      </c>
      <c r="S5" s="13">
        <f>6100+3250+19400</f>
        <v>28750</v>
      </c>
      <c r="T5" s="12">
        <f t="shared" si="2"/>
        <v>402990</v>
      </c>
    </row>
    <row r="6">
      <c r="A6" s="8">
        <v>45779</v>
      </c>
      <c r="B6" s="9" t="str">
        <f t="shared" si="0"/>
        <v>viernes</v>
      </c>
      <c r="C6" s="10" t="str">
        <f t="shared" si="1"/>
        <v>05/2025</v>
      </c>
      <c r="D6" s="10" t="s">
        <v>20</v>
      </c>
      <c r="E6" s="9" t="s">
        <v>27</v>
      </c>
      <c r="F6" s="9">
        <f>+VLOOKUP(D6,'[1]Datos'!$F$2:$G$10,2,FALSE)</f>
        <v>130</v>
      </c>
      <c r="G6" s="9">
        <v>58</v>
      </c>
      <c r="H6" s="9" t="s">
        <v>22</v>
      </c>
      <c r="I6" s="9" t="s">
        <v>23</v>
      </c>
      <c r="J6" s="11">
        <v>11874</v>
      </c>
      <c r="K6" s="11">
        <v>11897</v>
      </c>
      <c r="L6" s="12">
        <f>111200+10600</f>
        <v>121800</v>
      </c>
      <c r="M6" s="13"/>
      <c r="N6" s="14"/>
      <c r="O6" s="13"/>
      <c r="P6" s="13"/>
      <c r="Q6" s="13">
        <v>1000</v>
      </c>
      <c r="R6" s="13">
        <v>9700</v>
      </c>
      <c r="S6" s="13">
        <v>8900</v>
      </c>
      <c r="T6" s="12">
        <f t="shared" si="2"/>
        <v>102200</v>
      </c>
    </row>
    <row r="7">
      <c r="A7" s="8">
        <v>45779</v>
      </c>
      <c r="B7" s="9" t="str">
        <f t="shared" si="0"/>
        <v>viernes</v>
      </c>
      <c r="C7" s="10" t="str">
        <f t="shared" si="1"/>
        <v>05/2025</v>
      </c>
      <c r="D7" s="10" t="s">
        <v>20</v>
      </c>
      <c r="E7" s="9" t="s">
        <v>28</v>
      </c>
      <c r="F7" s="9">
        <f>+VLOOKUP(D7,'[1]Datos'!$F$2:$G$10,2,FALSE)</f>
        <v>130</v>
      </c>
      <c r="G7" s="9">
        <v>58</v>
      </c>
      <c r="H7" s="9" t="s">
        <v>22</v>
      </c>
      <c r="I7" s="9" t="s">
        <v>23</v>
      </c>
      <c r="J7" s="11">
        <v>11898</v>
      </c>
      <c r="K7" s="11">
        <v>11921</v>
      </c>
      <c r="L7" s="12">
        <f>84600+66600</f>
        <v>151200</v>
      </c>
      <c r="M7" s="13">
        <v>235000</v>
      </c>
      <c r="N7" s="14">
        <v>187.02000000000001</v>
      </c>
      <c r="O7" s="13"/>
      <c r="P7" s="13"/>
      <c r="Q7" s="13">
        <v>6700</v>
      </c>
      <c r="R7" s="13"/>
      <c r="S7" s="13">
        <v>5300</v>
      </c>
      <c r="T7" s="12">
        <f t="shared" si="2"/>
        <v>-95800</v>
      </c>
    </row>
    <row r="8">
      <c r="A8" s="8">
        <v>45779</v>
      </c>
      <c r="B8" s="9" t="str">
        <f t="shared" si="0"/>
        <v>viernes</v>
      </c>
      <c r="C8" s="10" t="str">
        <f t="shared" si="1"/>
        <v>05/2025</v>
      </c>
      <c r="D8" s="10" t="s">
        <v>20</v>
      </c>
      <c r="E8" s="9" t="s">
        <v>29</v>
      </c>
      <c r="F8" s="9">
        <f>+VLOOKUP(D8,'[1]Datos'!$F$2:$G$10,2,FALSE)</f>
        <v>130</v>
      </c>
      <c r="G8" s="9">
        <v>70</v>
      </c>
      <c r="H8" s="9" t="s">
        <v>30</v>
      </c>
      <c r="I8" s="9" t="s">
        <v>23</v>
      </c>
      <c r="J8" s="11">
        <v>11922</v>
      </c>
      <c r="K8" s="11">
        <v>11942</v>
      </c>
      <c r="L8" s="12">
        <f>95800+37900</f>
        <v>133700</v>
      </c>
      <c r="M8" s="13"/>
      <c r="N8" s="14"/>
      <c r="O8" s="13"/>
      <c r="P8" s="13"/>
      <c r="Q8" s="13">
        <v>3800</v>
      </c>
      <c r="R8" s="13">
        <v>10000</v>
      </c>
      <c r="S8" s="13">
        <v>6800</v>
      </c>
      <c r="T8" s="12">
        <f t="shared" si="2"/>
        <v>113100</v>
      </c>
    </row>
    <row r="9">
      <c r="A9" s="8">
        <v>45779</v>
      </c>
      <c r="B9" s="9" t="str">
        <f t="shared" si="0"/>
        <v>viernes</v>
      </c>
      <c r="C9" s="10" t="str">
        <f t="shared" si="1"/>
        <v>05/2025</v>
      </c>
      <c r="D9" s="10" t="s">
        <v>20</v>
      </c>
      <c r="E9" s="9" t="s">
        <v>31</v>
      </c>
      <c r="F9" s="9">
        <f>+VLOOKUP(D9,'[1]Datos'!$F$2:$G$10,2,FALSE)</f>
        <v>130</v>
      </c>
      <c r="G9" s="9">
        <v>70</v>
      </c>
      <c r="H9" s="9" t="s">
        <v>30</v>
      </c>
      <c r="I9" s="9" t="s">
        <v>23</v>
      </c>
      <c r="J9" s="11">
        <v>11943</v>
      </c>
      <c r="K9" s="11">
        <v>12000</v>
      </c>
      <c r="L9" s="12">
        <f>232800+99200+35200</f>
        <v>367200</v>
      </c>
      <c r="M9" s="13">
        <v>178000</v>
      </c>
      <c r="N9" s="14">
        <v>141.61000000000001</v>
      </c>
      <c r="O9" s="13"/>
      <c r="P9" s="13">
        <v>5500</v>
      </c>
      <c r="Q9" s="13">
        <f>10050-P9</f>
        <v>4550</v>
      </c>
      <c r="R9" s="13">
        <v>13000</v>
      </c>
      <c r="S9" s="13">
        <v>6100</v>
      </c>
      <c r="T9" s="12">
        <f t="shared" si="2"/>
        <v>160050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EA0037-009A-479B-9B2C-005B00D6009A}">
            <xm:f>$A1&lt;&gt;""</xm:f>
            <x14:dxf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diagonal/>
                <vertical style="none"/>
                <horizontal style="none"/>
              </border>
            </x14:dxf>
          </x14:cfRule>
          <xm:sqref>A1:T9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D006F-0057-4233-A3E7-008D007900A9}" type="list" allowBlank="1" errorStyle="stop" imeMode="noControl" operator="between" showDropDown="0" showErrorMessage="1" showInputMessage="1">
          <x14:formula1>
            <xm:f>Linea</xm:f>
          </x14:formula1>
          <xm:sqref>D1:D9</xm:sqref>
        </x14:dataValidation>
        <x14:dataValidation xr:uid="{002E0014-00E2-488B-8284-005200BF0051}" type="list" allowBlank="0" errorStyle="stop" imeMode="noControl" operator="between" showDropDown="0" showErrorMessage="1" showInputMessage="1">
          <x14:formula1>
            <xm:f>INDIRECT($D1)</xm:f>
          </x14:formula1>
          <xm:sqref>E1:E9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 tint="0.249977111117893"/>
    <outlinePr applyStyles="0" summaryBelow="1" summaryRight="1" showOutlineSymbols="1"/>
    <pageSetUpPr autoPageBreaks="1" fitToPage="0"/>
  </sheetPr>
  <sheetViews>
    <sheetView zoomScale="100" workbookViewId="0">
      <selection activeCell="C27" activeCellId="0" sqref="C27"/>
    </sheetView>
  </sheetViews>
  <sheetFormatPr baseColWidth="10" defaultRowHeight="14.4"/>
  <cols>
    <col bestFit="1" customWidth="1" min="2" max="2" width="20.77734375"/>
    <col bestFit="1" customWidth="1" min="3" max="3" width="66.6640625"/>
    <col bestFit="1" customWidth="1" min="4" max="4" width="22"/>
    <col bestFit="1" customWidth="1" min="5" max="5" width="19.44140625"/>
  </cols>
  <sheetData>
    <row r="1" ht="14.4">
      <c r="A1" t="s">
        <v>32</v>
      </c>
      <c r="B1">
        <v>72</v>
      </c>
    </row>
    <row r="2">
      <c r="A2" s="15" t="s">
        <v>33</v>
      </c>
      <c r="B2" s="16" t="s">
        <v>34</v>
      </c>
      <c r="C2" s="15" t="s">
        <v>35</v>
      </c>
      <c r="D2" s="15" t="s">
        <v>36</v>
      </c>
      <c r="E2" s="15" t="s">
        <v>37</v>
      </c>
      <c r="F2" s="9"/>
    </row>
    <row r="3">
      <c r="A3" s="17">
        <v>45498</v>
      </c>
      <c r="B3" s="9" t="s">
        <v>38</v>
      </c>
      <c r="C3" s="18" t="s">
        <v>39</v>
      </c>
      <c r="D3" s="18"/>
      <c r="E3" s="19">
        <v>45682</v>
      </c>
      <c r="F3" s="11" t="s">
        <v>40</v>
      </c>
    </row>
    <row r="4">
      <c r="A4" s="20">
        <v>45498</v>
      </c>
      <c r="B4" s="9" t="s">
        <v>38</v>
      </c>
      <c r="C4" s="9" t="s">
        <v>41</v>
      </c>
      <c r="D4" s="9"/>
      <c r="E4" s="20">
        <v>45682</v>
      </c>
      <c r="F4" s="11" t="s">
        <v>40</v>
      </c>
    </row>
    <row r="5">
      <c r="A5" s="20">
        <v>45498</v>
      </c>
      <c r="B5" s="9" t="s">
        <v>38</v>
      </c>
      <c r="C5" s="9" t="s">
        <v>42</v>
      </c>
      <c r="D5" s="9"/>
      <c r="E5" s="20">
        <v>45682</v>
      </c>
      <c r="F5" s="11" t="s">
        <v>40</v>
      </c>
    </row>
    <row r="6">
      <c r="A6" s="20">
        <v>45498</v>
      </c>
      <c r="B6" s="9" t="s">
        <v>43</v>
      </c>
      <c r="C6" s="9" t="s">
        <v>44</v>
      </c>
      <c r="D6" s="9"/>
      <c r="E6" s="20"/>
      <c r="F6" s="11" t="str">
        <f t="shared" ref="F6:F20" si="3">IF(E6=$F$1,"",(IF((E6&lt;$G$1+5),"REALIZAR CAMBIO","")))</f>
        <v/>
      </c>
    </row>
    <row r="7">
      <c r="A7" s="20">
        <v>45524</v>
      </c>
      <c r="B7" s="9" t="s">
        <v>43</v>
      </c>
      <c r="C7" s="9" t="s">
        <v>45</v>
      </c>
      <c r="D7" s="9"/>
      <c r="E7" s="20"/>
      <c r="F7" s="11" t="str">
        <f t="shared" si="3"/>
        <v/>
      </c>
    </row>
    <row r="8">
      <c r="A8" s="20">
        <v>45603</v>
      </c>
      <c r="B8" s="9" t="s">
        <v>46</v>
      </c>
      <c r="C8" s="9" t="s">
        <v>47</v>
      </c>
      <c r="D8" s="9"/>
      <c r="E8" s="20"/>
      <c r="F8" s="11" t="str">
        <f t="shared" si="3"/>
        <v/>
      </c>
    </row>
    <row r="9">
      <c r="A9" s="20">
        <v>45603</v>
      </c>
      <c r="B9" s="9" t="s">
        <v>48</v>
      </c>
      <c r="C9" s="9" t="s">
        <v>49</v>
      </c>
      <c r="D9" s="9"/>
      <c r="E9" s="20">
        <v>45633</v>
      </c>
      <c r="F9" s="11" t="s">
        <v>40</v>
      </c>
    </row>
    <row r="10">
      <c r="A10" s="20">
        <v>45603</v>
      </c>
      <c r="B10" s="9" t="s">
        <v>48</v>
      </c>
      <c r="C10" s="9" t="s">
        <v>50</v>
      </c>
      <c r="D10" s="9"/>
      <c r="E10" s="20">
        <v>45633</v>
      </c>
      <c r="F10" s="11" t="str">
        <f t="shared" si="3"/>
        <v/>
      </c>
    </row>
    <row r="11">
      <c r="A11" s="20">
        <v>45708</v>
      </c>
      <c r="B11" s="9" t="s">
        <v>51</v>
      </c>
      <c r="C11" s="9" t="s">
        <v>52</v>
      </c>
      <c r="D11" s="9" t="s">
        <v>53</v>
      </c>
      <c r="E11" s="20"/>
      <c r="F11" s="11" t="str">
        <f t="shared" si="3"/>
        <v/>
      </c>
    </row>
    <row r="12">
      <c r="A12" s="20">
        <v>45767</v>
      </c>
      <c r="B12" s="9" t="s">
        <v>38</v>
      </c>
      <c r="C12" s="9" t="s">
        <v>39</v>
      </c>
      <c r="D12" s="9"/>
      <c r="E12" s="20">
        <v>45966</v>
      </c>
      <c r="F12" s="11" t="s">
        <v>40</v>
      </c>
    </row>
    <row r="13">
      <c r="A13" s="20">
        <v>45767</v>
      </c>
      <c r="B13" s="9" t="s">
        <v>38</v>
      </c>
      <c r="C13" s="9" t="s">
        <v>42</v>
      </c>
      <c r="D13" s="9"/>
      <c r="E13" s="20">
        <v>45966</v>
      </c>
      <c r="F13" s="11" t="s">
        <v>40</v>
      </c>
    </row>
    <row r="14">
      <c r="A14" s="20">
        <v>45858</v>
      </c>
      <c r="B14" s="9" t="s">
        <v>54</v>
      </c>
      <c r="C14" s="9" t="s">
        <v>55</v>
      </c>
      <c r="D14" s="9"/>
      <c r="E14" s="20"/>
      <c r="F14" s="11" t="str">
        <f t="shared" si="3"/>
        <v/>
      </c>
    </row>
    <row r="15">
      <c r="A15" s="20">
        <v>45904</v>
      </c>
      <c r="B15" s="9" t="s">
        <v>43</v>
      </c>
      <c r="C15" s="9" t="s">
        <v>56</v>
      </c>
      <c r="D15" s="9" t="s">
        <v>57</v>
      </c>
      <c r="E15" s="20">
        <v>45934</v>
      </c>
      <c r="F15" s="11" t="s">
        <v>40</v>
      </c>
    </row>
    <row r="16">
      <c r="A16" s="20">
        <v>45928</v>
      </c>
      <c r="B16" s="9" t="s">
        <v>58</v>
      </c>
      <c r="C16" s="9" t="s">
        <v>59</v>
      </c>
      <c r="D16" s="9" t="s">
        <v>60</v>
      </c>
      <c r="E16" s="20"/>
      <c r="F16" s="11" t="str">
        <f t="shared" si="3"/>
        <v/>
      </c>
    </row>
    <row r="17">
      <c r="A17" s="20">
        <v>45928</v>
      </c>
      <c r="B17" s="9" t="s">
        <v>58</v>
      </c>
      <c r="C17" s="9" t="s">
        <v>49</v>
      </c>
      <c r="D17" s="9"/>
      <c r="E17" s="20">
        <v>45960</v>
      </c>
      <c r="F17" s="11" t="str">
        <f t="shared" si="3"/>
        <v/>
      </c>
    </row>
    <row r="18">
      <c r="A18" s="20">
        <v>45938</v>
      </c>
      <c r="B18" s="9" t="s">
        <v>58</v>
      </c>
      <c r="C18" s="9" t="s">
        <v>61</v>
      </c>
      <c r="D18" s="9"/>
      <c r="E18" s="20"/>
      <c r="F18" s="11" t="str">
        <f t="shared" si="3"/>
        <v/>
      </c>
    </row>
    <row r="19">
      <c r="A19" s="20">
        <v>45944</v>
      </c>
      <c r="B19" s="9" t="s">
        <v>43</v>
      </c>
      <c r="C19" s="9" t="s">
        <v>62</v>
      </c>
      <c r="D19" s="9" t="s">
        <v>57</v>
      </c>
      <c r="E19" s="20">
        <v>45981</v>
      </c>
      <c r="F19" s="11" t="str">
        <f t="shared" si="3"/>
        <v/>
      </c>
    </row>
    <row r="20">
      <c r="A20" s="20">
        <v>45944</v>
      </c>
      <c r="B20" s="9" t="s">
        <v>43</v>
      </c>
      <c r="C20" s="9" t="s">
        <v>63</v>
      </c>
      <c r="D20" s="9" t="s">
        <v>64</v>
      </c>
      <c r="E20" s="20">
        <v>45975</v>
      </c>
      <c r="F20" s="11" t="s"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E000F4-0038-4DDF-B3AD-003D00650088}">
            <xm:f>"REALIZAR CAMBIO"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E009D-0027-47B5-8416-00B000C200BF}" type="list" allowBlank="1" errorStyle="warning" errorTitle="NO ESPECIFICADO" imeMode="noControl" operator="between" showDropDown="0" showErrorMessage="1" showInputMessage="0">
          <x14:formula1>
            <xm:f>$N$1:$N$13</xm:f>
          </x14:formula1>
          <xm:sqref>B3:B20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1" summaryRight="1" showOutlineSymbols="1"/>
    <pageSetUpPr autoPageBreaks="1" fitToPage="0"/>
  </sheetPr>
  <sheetViews>
    <sheetView zoomScale="100" workbookViewId="0">
      <selection activeCell="F25" activeCellId="0" sqref="F25"/>
    </sheetView>
  </sheetViews>
  <sheetFormatPr baseColWidth="10" defaultRowHeight="14.4"/>
  <sheetData>
    <row r="2" ht="28.800000000000001">
      <c r="A2" s="21" t="s">
        <v>0</v>
      </c>
      <c r="B2" s="21" t="s">
        <v>65</v>
      </c>
      <c r="C2" s="21" t="s">
        <v>7</v>
      </c>
      <c r="D2" s="21" t="s">
        <v>66</v>
      </c>
      <c r="E2" s="21" t="s">
        <v>67</v>
      </c>
      <c r="F2" s="21" t="s">
        <v>68</v>
      </c>
      <c r="G2" s="22" t="s">
        <v>69</v>
      </c>
      <c r="H2" s="21" t="s">
        <v>70</v>
      </c>
      <c r="I2" s="23" t="s">
        <v>71</v>
      </c>
      <c r="J2" s="24" t="s">
        <v>72</v>
      </c>
      <c r="K2" s="24" t="s">
        <v>73</v>
      </c>
      <c r="L2" s="24" t="s">
        <v>74</v>
      </c>
      <c r="M2" s="25" t="s">
        <v>75</v>
      </c>
    </row>
    <row r="3">
      <c r="A3" s="26">
        <v>45731</v>
      </c>
      <c r="B3">
        <v>4</v>
      </c>
      <c r="C3" t="s">
        <v>76</v>
      </c>
      <c r="D3" t="s">
        <v>77</v>
      </c>
      <c r="E3" t="s">
        <v>78</v>
      </c>
      <c r="F3" s="27" t="s">
        <v>79</v>
      </c>
      <c r="G3">
        <v>13000</v>
      </c>
      <c r="H3">
        <v>29699</v>
      </c>
      <c r="I3" s="28">
        <v>386100</v>
      </c>
      <c r="J3" s="28">
        <f t="shared" ref="J3:J18" si="4">+I3*21/100</f>
        <v>81081</v>
      </c>
      <c r="K3" s="28">
        <f t="shared" ref="K3:K18" si="5">+I3+J3</f>
        <v>467181</v>
      </c>
      <c r="L3" s="28">
        <f t="shared" ref="L3:L18" si="6">+I3*15/100</f>
        <v>57915</v>
      </c>
    </row>
    <row r="4">
      <c r="A4" s="26">
        <v>45731</v>
      </c>
      <c r="B4">
        <v>4</v>
      </c>
      <c r="C4" t="s">
        <v>76</v>
      </c>
      <c r="D4" t="s">
        <v>80</v>
      </c>
      <c r="E4" t="s">
        <v>78</v>
      </c>
      <c r="F4" s="27" t="s">
        <v>81</v>
      </c>
      <c r="G4">
        <v>15487.5</v>
      </c>
      <c r="H4">
        <v>27300</v>
      </c>
      <c r="I4" s="28">
        <f>+G4*27.3</f>
        <v>422808.75</v>
      </c>
      <c r="J4" s="28">
        <f t="shared" si="4"/>
        <v>88789.837499999994</v>
      </c>
      <c r="K4" s="28">
        <f t="shared" si="5"/>
        <v>511598.58750000002</v>
      </c>
      <c r="L4" s="28">
        <f t="shared" si="6"/>
        <v>63421.3125</v>
      </c>
    </row>
    <row r="5">
      <c r="A5" s="26">
        <v>45732</v>
      </c>
      <c r="B5">
        <v>4</v>
      </c>
      <c r="C5" t="s">
        <v>76</v>
      </c>
      <c r="D5" t="s">
        <v>80</v>
      </c>
      <c r="E5" t="s">
        <v>78</v>
      </c>
      <c r="F5" s="27" t="s">
        <v>82</v>
      </c>
      <c r="G5">
        <v>15487.5</v>
      </c>
      <c r="H5">
        <v>28500</v>
      </c>
      <c r="I5" s="28">
        <f>+G5*28.5</f>
        <v>441393.75</v>
      </c>
      <c r="J5" s="28">
        <f t="shared" si="4"/>
        <v>92692.6875</v>
      </c>
      <c r="K5" s="28">
        <f t="shared" si="5"/>
        <v>534086.4375</v>
      </c>
      <c r="L5" s="28">
        <f t="shared" si="6"/>
        <v>66209.0625</v>
      </c>
    </row>
    <row r="6">
      <c r="A6" s="26">
        <v>45733</v>
      </c>
      <c r="B6">
        <v>4</v>
      </c>
      <c r="C6" t="s">
        <v>76</v>
      </c>
      <c r="D6" t="s">
        <v>77</v>
      </c>
      <c r="E6" t="s">
        <v>78</v>
      </c>
      <c r="F6" s="29" t="s">
        <v>83</v>
      </c>
      <c r="G6">
        <v>13000</v>
      </c>
      <c r="H6">
        <f>45180-15560</f>
        <v>29620</v>
      </c>
      <c r="I6" s="28">
        <f t="shared" ref="I6:I7" si="7">+G6*29.62</f>
        <v>385060</v>
      </c>
      <c r="J6" s="28">
        <f t="shared" si="4"/>
        <v>80862.600000000006</v>
      </c>
      <c r="K6" s="28">
        <f t="shared" si="5"/>
        <v>465922.59999999998</v>
      </c>
      <c r="L6" s="28">
        <f t="shared" si="6"/>
        <v>57759</v>
      </c>
    </row>
    <row r="7">
      <c r="A7" s="26">
        <v>45734</v>
      </c>
      <c r="B7">
        <v>4</v>
      </c>
      <c r="C7" t="s">
        <v>76</v>
      </c>
      <c r="D7" t="s">
        <v>77</v>
      </c>
      <c r="E7" t="s">
        <v>78</v>
      </c>
      <c r="F7" s="27" t="s">
        <v>84</v>
      </c>
      <c r="G7">
        <v>13000</v>
      </c>
      <c r="H7">
        <v>29619</v>
      </c>
      <c r="I7" s="28">
        <f t="shared" si="7"/>
        <v>385060</v>
      </c>
      <c r="J7" s="28">
        <f t="shared" si="4"/>
        <v>80862.600000000006</v>
      </c>
      <c r="K7" s="28">
        <f t="shared" si="5"/>
        <v>465922.59999999998</v>
      </c>
      <c r="L7" s="28">
        <f t="shared" si="6"/>
        <v>57759</v>
      </c>
    </row>
    <row r="8">
      <c r="A8" s="26">
        <v>45734</v>
      </c>
      <c r="B8">
        <v>4</v>
      </c>
      <c r="C8" t="s">
        <v>76</v>
      </c>
      <c r="D8" t="s">
        <v>85</v>
      </c>
      <c r="E8" t="s">
        <v>78</v>
      </c>
      <c r="F8" s="27" t="s">
        <v>86</v>
      </c>
      <c r="G8">
        <v>5420.7399999999998</v>
      </c>
      <c r="H8">
        <f>45500-15720</f>
        <v>29780</v>
      </c>
      <c r="I8" s="28">
        <f>+G8*29.78</f>
        <v>161429.6372</v>
      </c>
      <c r="J8" s="28">
        <f t="shared" si="4"/>
        <v>33900.223811999997</v>
      </c>
      <c r="K8" s="28">
        <f t="shared" si="5"/>
        <v>195329.86101200001</v>
      </c>
      <c r="L8" s="28">
        <f t="shared" si="6"/>
        <v>24214.445580000003</v>
      </c>
    </row>
    <row r="9">
      <c r="A9" s="26">
        <v>45735</v>
      </c>
      <c r="B9">
        <v>4</v>
      </c>
      <c r="C9" t="s">
        <v>76</v>
      </c>
      <c r="D9" t="s">
        <v>85</v>
      </c>
      <c r="E9" t="s">
        <v>78</v>
      </c>
      <c r="F9" s="27" t="s">
        <v>87</v>
      </c>
      <c r="G9">
        <v>5420.7399999999998</v>
      </c>
      <c r="H9">
        <f>45200-15720</f>
        <v>29480</v>
      </c>
      <c r="I9" s="28">
        <f>+G9*29.48</f>
        <v>159803.41519999999</v>
      </c>
      <c r="J9" s="28">
        <f t="shared" si="4"/>
        <v>33558.717191999996</v>
      </c>
      <c r="K9" s="28">
        <f t="shared" si="5"/>
        <v>193362.132392</v>
      </c>
      <c r="L9" s="28">
        <f t="shared" si="6"/>
        <v>23970.512279999995</v>
      </c>
    </row>
    <row r="10">
      <c r="A10" s="26">
        <v>45735</v>
      </c>
      <c r="B10">
        <v>4</v>
      </c>
      <c r="C10" t="s">
        <v>76</v>
      </c>
      <c r="D10" t="s">
        <v>77</v>
      </c>
      <c r="E10" t="s">
        <v>78</v>
      </c>
      <c r="F10" s="27" t="s">
        <v>88</v>
      </c>
      <c r="G10">
        <v>13000</v>
      </c>
      <c r="H10">
        <f>45500-15580</f>
        <v>29920</v>
      </c>
      <c r="I10" s="28">
        <f>+G10*29.92</f>
        <v>388960</v>
      </c>
      <c r="J10" s="28">
        <f t="shared" si="4"/>
        <v>81681.600000000006</v>
      </c>
      <c r="K10" s="28">
        <f t="shared" si="5"/>
        <v>470641.59999999998</v>
      </c>
      <c r="L10" s="28">
        <f t="shared" si="6"/>
        <v>58344</v>
      </c>
    </row>
    <row r="11">
      <c r="A11" s="26">
        <v>45736</v>
      </c>
      <c r="B11">
        <v>4</v>
      </c>
      <c r="C11" t="s">
        <v>76</v>
      </c>
      <c r="D11" t="s">
        <v>77</v>
      </c>
      <c r="E11" t="s">
        <v>78</v>
      </c>
      <c r="F11" s="27" t="s">
        <v>89</v>
      </c>
      <c r="G11">
        <v>13000</v>
      </c>
      <c r="H11">
        <v>24960</v>
      </c>
      <c r="I11" s="28">
        <f>+G11*24.96</f>
        <v>324480</v>
      </c>
      <c r="J11" s="28">
        <f t="shared" si="4"/>
        <v>68140.800000000003</v>
      </c>
      <c r="K11" s="28">
        <f t="shared" si="5"/>
        <v>392620.79999999999</v>
      </c>
      <c r="L11" s="28">
        <f t="shared" si="6"/>
        <v>48672</v>
      </c>
    </row>
    <row r="12">
      <c r="A12" s="26">
        <v>45736</v>
      </c>
      <c r="B12">
        <v>4</v>
      </c>
      <c r="C12" t="s">
        <v>76</v>
      </c>
      <c r="D12" t="s">
        <v>85</v>
      </c>
      <c r="E12" t="s">
        <v>78</v>
      </c>
      <c r="F12" s="27" t="s">
        <v>90</v>
      </c>
      <c r="G12">
        <v>5420.7399999999998</v>
      </c>
      <c r="H12">
        <v>29080</v>
      </c>
      <c r="I12" s="28">
        <f>+G12*29.08</f>
        <v>157635.11919999999</v>
      </c>
      <c r="J12" s="28">
        <f t="shared" si="4"/>
        <v>33103.375031999996</v>
      </c>
      <c r="K12" s="28">
        <f t="shared" si="5"/>
        <v>190738.49423199997</v>
      </c>
      <c r="L12" s="28">
        <f t="shared" si="6"/>
        <v>23645.267879999996</v>
      </c>
    </row>
    <row r="13">
      <c r="A13" s="26">
        <v>45737</v>
      </c>
      <c r="B13">
        <v>4</v>
      </c>
      <c r="C13" t="s">
        <v>76</v>
      </c>
      <c r="D13" t="s">
        <v>91</v>
      </c>
      <c r="E13" t="s">
        <v>78</v>
      </c>
      <c r="F13" s="27" t="s">
        <v>92</v>
      </c>
      <c r="G13">
        <v>5420.7399999999998</v>
      </c>
      <c r="H13">
        <v>28920</v>
      </c>
      <c r="I13" s="28">
        <f>+G13*28.92</f>
        <v>156767.8008</v>
      </c>
      <c r="J13" s="28">
        <f t="shared" si="4"/>
        <v>32921.238168000003</v>
      </c>
      <c r="K13" s="28">
        <f t="shared" si="5"/>
        <v>189689.03896800001</v>
      </c>
      <c r="L13" s="28">
        <f t="shared" si="6"/>
        <v>23515.170120000002</v>
      </c>
    </row>
    <row r="14">
      <c r="A14" s="26">
        <v>45742</v>
      </c>
      <c r="B14">
        <v>4</v>
      </c>
      <c r="C14" t="s">
        <v>76</v>
      </c>
      <c r="D14" t="s">
        <v>77</v>
      </c>
      <c r="E14" t="s">
        <v>78</v>
      </c>
      <c r="F14" s="27" t="s">
        <v>93</v>
      </c>
      <c r="G14">
        <v>13000</v>
      </c>
      <c r="H14">
        <f t="shared" ref="H14:H15" si="8">45500-15680</f>
        <v>29820</v>
      </c>
      <c r="I14" s="28">
        <f t="shared" ref="I14:I15" si="9">+G14*29.82</f>
        <v>387660</v>
      </c>
      <c r="J14" s="28">
        <f t="shared" si="4"/>
        <v>81408.600000000006</v>
      </c>
      <c r="K14" s="28">
        <f t="shared" si="5"/>
        <v>469068.59999999998</v>
      </c>
      <c r="L14" s="28">
        <f t="shared" si="6"/>
        <v>58149</v>
      </c>
      <c r="M14">
        <v>211</v>
      </c>
    </row>
    <row r="15">
      <c r="A15" s="26">
        <v>45742</v>
      </c>
      <c r="B15">
        <v>4</v>
      </c>
      <c r="C15" t="s">
        <v>76</v>
      </c>
      <c r="D15" t="s">
        <v>91</v>
      </c>
      <c r="E15" t="s">
        <v>78</v>
      </c>
      <c r="F15" s="27" t="s">
        <v>94</v>
      </c>
      <c r="G15">
        <v>5420.7399999999998</v>
      </c>
      <c r="H15">
        <f t="shared" si="8"/>
        <v>29820</v>
      </c>
      <c r="I15" s="28">
        <f t="shared" si="9"/>
        <v>161646.46679999999</v>
      </c>
      <c r="J15" s="28">
        <f t="shared" si="4"/>
        <v>33945.758027999997</v>
      </c>
      <c r="K15" s="28">
        <f t="shared" si="5"/>
        <v>195592.22482800001</v>
      </c>
      <c r="L15" s="28">
        <f t="shared" si="6"/>
        <v>24246.970019999997</v>
      </c>
      <c r="M15">
        <f>22+21+43+10</f>
        <v>96</v>
      </c>
    </row>
    <row r="16">
      <c r="A16" s="26">
        <v>45743</v>
      </c>
      <c r="B16">
        <v>4</v>
      </c>
      <c r="C16" t="s">
        <v>76</v>
      </c>
      <c r="D16" t="s">
        <v>95</v>
      </c>
      <c r="E16" t="s">
        <v>78</v>
      </c>
      <c r="F16" s="27" t="s">
        <v>96</v>
      </c>
      <c r="G16">
        <v>5420.7399999999998</v>
      </c>
      <c r="H16">
        <f>45500-15720</f>
        <v>29780</v>
      </c>
      <c r="I16" s="28">
        <f>+G16*29.78</f>
        <v>161429.6372</v>
      </c>
      <c r="J16" s="28">
        <f t="shared" si="4"/>
        <v>33900.223811999997</v>
      </c>
      <c r="K16" s="28">
        <f t="shared" si="5"/>
        <v>195329.86101200001</v>
      </c>
      <c r="L16" s="28">
        <f t="shared" si="6"/>
        <v>24214.445580000003</v>
      </c>
      <c r="M16">
        <f>46+3+50</f>
        <v>99</v>
      </c>
    </row>
    <row r="17">
      <c r="A17" s="26">
        <v>45745</v>
      </c>
      <c r="B17">
        <v>4</v>
      </c>
      <c r="C17" t="s">
        <v>76</v>
      </c>
      <c r="D17" t="s">
        <v>77</v>
      </c>
      <c r="E17" t="s">
        <v>78</v>
      </c>
      <c r="F17" s="27" t="s">
        <v>97</v>
      </c>
      <c r="G17">
        <v>13000</v>
      </c>
      <c r="H17">
        <v>29200</v>
      </c>
      <c r="I17" s="28">
        <f>+G17*29.2</f>
        <v>379600</v>
      </c>
      <c r="J17" s="28">
        <f t="shared" si="4"/>
        <v>79716</v>
      </c>
      <c r="K17" s="28">
        <f t="shared" si="5"/>
        <v>459316</v>
      </c>
      <c r="L17" s="28">
        <f t="shared" si="6"/>
        <v>56940</v>
      </c>
      <c r="M17">
        <v>211</v>
      </c>
    </row>
    <row r="18">
      <c r="A18" s="26">
        <v>45747</v>
      </c>
      <c r="B18">
        <v>4</v>
      </c>
      <c r="C18" t="s">
        <v>76</v>
      </c>
      <c r="D18" t="s">
        <v>77</v>
      </c>
      <c r="E18" t="s">
        <v>78</v>
      </c>
      <c r="F18" s="27" t="s">
        <v>98</v>
      </c>
      <c r="G18">
        <v>13000</v>
      </c>
      <c r="H18">
        <v>27900</v>
      </c>
      <c r="I18" s="28">
        <f>+G18*27.9</f>
        <v>362700</v>
      </c>
      <c r="J18" s="28">
        <f t="shared" si="4"/>
        <v>76167</v>
      </c>
      <c r="K18" s="28">
        <f t="shared" si="5"/>
        <v>438867</v>
      </c>
      <c r="L18" s="28">
        <f t="shared" si="6"/>
        <v>54405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Solis</dc:creator>
  <cp:revision>1</cp:revision>
  <dcterms:created xsi:type="dcterms:W3CDTF">2026-09-24T19:36:17Z</dcterms:created>
  <dcterms:modified xsi:type="dcterms:W3CDTF">2026-09-26T11:10:26Z</dcterms:modified>
</cp:coreProperties>
</file>